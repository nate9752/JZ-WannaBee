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then Carey\Desktop\Aircraft Sizing Code\Data\"/>
    </mc:Choice>
  </mc:AlternateContent>
  <xr:revisionPtr revIDLastSave="0" documentId="13_ncr:1_{73BB8B82-39E7-4E03-87C9-C077419380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ircraft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F56" i="1"/>
  <c r="F57" i="1"/>
  <c r="F55" i="1"/>
  <c r="F54" i="1"/>
  <c r="F53" i="1"/>
  <c r="E57" i="1"/>
  <c r="E56" i="1"/>
  <c r="E55" i="1"/>
  <c r="H55" i="1" s="1"/>
  <c r="E54" i="1"/>
  <c r="H54" i="1" s="1"/>
  <c r="E53" i="1"/>
  <c r="H53" i="1" s="1"/>
  <c r="C56" i="1"/>
  <c r="C57" i="1"/>
  <c r="C55" i="1"/>
  <c r="C54" i="1"/>
  <c r="C53" i="1"/>
  <c r="F52" i="1"/>
  <c r="E52" i="1"/>
  <c r="C52" i="1"/>
  <c r="F51" i="1"/>
  <c r="E51" i="1"/>
  <c r="C51" i="1"/>
  <c r="F50" i="1"/>
  <c r="E50" i="1"/>
  <c r="C50" i="1"/>
  <c r="F49" i="1"/>
  <c r="E49" i="1"/>
  <c r="F48" i="1"/>
  <c r="E48" i="1"/>
  <c r="C49" i="1"/>
  <c r="C48" i="1"/>
  <c r="E47" i="1"/>
  <c r="F47" i="1"/>
  <c r="C47" i="1"/>
  <c r="H46" i="1"/>
  <c r="E45" i="1"/>
  <c r="H45" i="1" s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E28" i="1"/>
  <c r="H28" i="1" s="1"/>
  <c r="E27" i="1"/>
  <c r="H27" i="1" s="1"/>
  <c r="E26" i="1"/>
  <c r="H26" i="1" s="1"/>
  <c r="E25" i="1"/>
  <c r="H25" i="1" s="1"/>
  <c r="E24" i="1"/>
  <c r="H24" i="1" s="1"/>
  <c r="E23" i="1"/>
  <c r="H23" i="1" s="1"/>
  <c r="E22" i="1"/>
  <c r="H22" i="1" s="1"/>
  <c r="E21" i="1"/>
  <c r="H21" i="1" s="1"/>
  <c r="E20" i="1"/>
  <c r="H20" i="1" s="1"/>
  <c r="H19" i="1"/>
  <c r="H18" i="1"/>
  <c r="H17" i="1"/>
  <c r="H16" i="1"/>
  <c r="H15" i="1"/>
  <c r="H14" i="1"/>
  <c r="H13" i="1"/>
  <c r="H12" i="1"/>
  <c r="H11" i="1"/>
  <c r="E10" i="1"/>
  <c r="H10" i="1" s="1"/>
  <c r="E9" i="1"/>
  <c r="H9" i="1" s="1"/>
  <c r="E8" i="1"/>
  <c r="H8" i="1" s="1"/>
  <c r="E7" i="1"/>
  <c r="H7" i="1" s="1"/>
  <c r="E6" i="1"/>
  <c r="H6" i="1" s="1"/>
  <c r="E5" i="1"/>
  <c r="H5" i="1" s="1"/>
  <c r="E4" i="1"/>
  <c r="H4" i="1" s="1"/>
  <c r="E3" i="1"/>
  <c r="H3" i="1" s="1"/>
  <c r="E2" i="1"/>
  <c r="H2" i="1" s="1"/>
  <c r="H57" i="1" l="1"/>
  <c r="H56" i="1"/>
  <c r="H47" i="1"/>
  <c r="H52" i="1"/>
  <c r="H48" i="1"/>
  <c r="H50" i="1"/>
  <c r="H51" i="1"/>
  <c r="H49" i="1"/>
</calcChain>
</file>

<file path=xl/sharedStrings.xml><?xml version="1.0" encoding="utf-8"?>
<sst xmlns="http://schemas.openxmlformats.org/spreadsheetml/2006/main" count="351" uniqueCount="57">
  <si>
    <t>Source</t>
  </si>
  <si>
    <t>Aircraft</t>
  </si>
  <si>
    <t>Gross Weight [lbf]</t>
  </si>
  <si>
    <t>Payload Weight [lbf]</t>
  </si>
  <si>
    <t>Empty Weight [lbf]</t>
  </si>
  <si>
    <t>Battery Weight [lbf]</t>
  </si>
  <si>
    <t>We/W0</t>
  </si>
  <si>
    <t>Cruise Speed [ft/s]</t>
  </si>
  <si>
    <t>Configuration</t>
  </si>
  <si>
    <t>Structure</t>
  </si>
  <si>
    <t>Tail</t>
  </si>
  <si>
    <t>Propulsion</t>
  </si>
  <si>
    <t>Wing Location</t>
  </si>
  <si>
    <t>AIAA DBF</t>
  </si>
  <si>
    <t>EmergenSC</t>
  </si>
  <si>
    <t>Monoplane</t>
  </si>
  <si>
    <t>Plywood/balsa</t>
  </si>
  <si>
    <t>Conventional</t>
  </si>
  <si>
    <t>Twin</t>
  </si>
  <si>
    <t>High</t>
  </si>
  <si>
    <t>ADRIA</t>
  </si>
  <si>
    <t>T-Tail</t>
  </si>
  <si>
    <t>Tractor</t>
  </si>
  <si>
    <t>THE</t>
  </si>
  <si>
    <t>ROOSTER</t>
  </si>
  <si>
    <t>Low</t>
  </si>
  <si>
    <t>COnventional</t>
  </si>
  <si>
    <t>SAILFIN</t>
  </si>
  <si>
    <t>SPIRIT OF BLACKSBURG</t>
  </si>
  <si>
    <t>Foam/fiberglass</t>
  </si>
  <si>
    <t>HORNET</t>
  </si>
  <si>
    <t>SPITZFIRE</t>
  </si>
  <si>
    <t>Twin T-Tail</t>
  </si>
  <si>
    <t>PFLYZER</t>
  </si>
  <si>
    <t>MACH</t>
  </si>
  <si>
    <t>ARCIS</t>
  </si>
  <si>
    <t>KNIGHTMOBILE</t>
  </si>
  <si>
    <t>SCkyfall</t>
  </si>
  <si>
    <t>Foam, Carnon Fiber, Bulsa, Plywood, Fiberglass</t>
  </si>
  <si>
    <t>F-104 Buzzfighter</t>
  </si>
  <si>
    <t>Vayuputras</t>
  </si>
  <si>
    <t>Cronus</t>
  </si>
  <si>
    <t>EDA 15</t>
  </si>
  <si>
    <t>Paper</t>
  </si>
  <si>
    <t>Revolution 3D Trainer</t>
  </si>
  <si>
    <t xml:space="preserve">Paper </t>
  </si>
  <si>
    <t>Foamtana</t>
  </si>
  <si>
    <t>Electrify Yak 55M</t>
  </si>
  <si>
    <t>Electrify Extra 330SC</t>
  </si>
  <si>
    <t>Hobbico Superstar EP</t>
  </si>
  <si>
    <t>Extra 330 L</t>
  </si>
  <si>
    <t>Edge 540</t>
  </si>
  <si>
    <t>Carbon Yak 54</t>
  </si>
  <si>
    <t>Hawker Hurricane 25e</t>
  </si>
  <si>
    <t>F3A/Gadfly</t>
  </si>
  <si>
    <t>Nemesis Racer EP</t>
  </si>
  <si>
    <t>Wb/Wto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</si>
</sst>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/>
      <diagonal/>
    </border>
    <border>
      <left style="thin">
        <color rgb="FF284E3F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284E3F"/>
      </right>
      <top style="thin">
        <color rgb="FFF6F8F9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0" fontId="0" fillId="0" borderId="0" xfId="0" applyBorder="1"/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AAIA DBF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60">
  <tableColumns count="14">
    <tableColumn id="1" xr3:uid="{00000000-0010-0000-0000-000001000000}" name="Source"/>
    <tableColumn id="2" xr3:uid="{00000000-0010-0000-0000-000002000000}" name="Aircraft"/>
    <tableColumn id="7" xr3:uid="{00000000-0010-0000-0000-000007000000}" name="Gross Weight [lbf]"/>
    <tableColumn id="8" xr3:uid="{00000000-0010-0000-0000-000008000000}" name="Payload Weight [lbf]"/>
    <tableColumn id="9" xr3:uid="{00000000-0010-0000-0000-000009000000}" name="Empty Weight [lbf]"/>
    <tableColumn id="10" xr3:uid="{00000000-0010-0000-0000-00000A000000}" name="Battery Weight [lbf]"/>
    <tableColumn id="3" xr3:uid="{7EC1D229-28AE-4C45-A738-0DBAF05C4266}" name="Wb/Wto" dataDxfId="0">
      <calculatedColumnFormula>Table1[[#This Row],[Battery Weight '[lbf']]]/Table1[[#This Row],[Gross Weight '[lbf']]]</calculatedColumnFormula>
    </tableColumn>
    <tableColumn id="11" xr3:uid="{00000000-0010-0000-0000-00000B000000}" name="We/W0"/>
    <tableColumn id="13" xr3:uid="{00000000-0010-0000-0000-00000D000000}" name="Cruise Speed [ft/s]"/>
    <tableColumn id="14" xr3:uid="{00000000-0010-0000-0000-00000E000000}" name="Configuration"/>
    <tableColumn id="15" xr3:uid="{00000000-0010-0000-0000-00000F000000}" name="Structure"/>
    <tableColumn id="16" xr3:uid="{00000000-0010-0000-0000-000010000000}" name="Tail"/>
    <tableColumn id="17" xr3:uid="{00000000-0010-0000-0000-000011000000}" name="Propulsion"/>
    <tableColumn id="18" xr3:uid="{00000000-0010-0000-0000-000012000000}" name="Wing Location"/>
  </tableColumns>
  <tableStyleInfo name="AAIA DBF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60"/>
  <sheetViews>
    <sheetView tabSelected="1" workbookViewId="0">
      <pane ySplit="1" topLeftCell="A26" activePane="bottomLeft" state="frozen"/>
      <selection pane="bottomLeft" activeCell="B59" sqref="B59"/>
    </sheetView>
  </sheetViews>
  <sheetFormatPr defaultColWidth="12.5703125" defaultRowHeight="15.75" customHeight="1" x14ac:dyDescent="0.2"/>
  <cols>
    <col min="2" max="2" width="19.5703125" customWidth="1"/>
    <col min="3" max="3" width="18.5703125" customWidth="1"/>
    <col min="4" max="4" width="20.28515625" customWidth="1"/>
    <col min="5" max="5" width="19" customWidth="1"/>
    <col min="6" max="7" width="19.42578125" customWidth="1"/>
    <col min="8" max="8" width="17" customWidth="1"/>
    <col min="9" max="9" width="19.28515625" customWidth="1"/>
    <col min="10" max="10" width="15.42578125" customWidth="1"/>
    <col min="11" max="11" width="13.28515625" customWidth="1"/>
    <col min="13" max="13" width="13.42578125" customWidth="1"/>
    <col min="14" max="14" width="16.140625" customWidth="1"/>
  </cols>
  <sheetData>
    <row r="1" spans="1:16" ht="15.7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56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</row>
    <row r="2" spans="1:16" ht="15.75" customHeight="1" x14ac:dyDescent="0.2">
      <c r="A2" s="5" t="s">
        <v>13</v>
      </c>
      <c r="B2" s="6" t="s">
        <v>14</v>
      </c>
      <c r="C2" s="7">
        <v>11.5</v>
      </c>
      <c r="D2" s="7">
        <v>0</v>
      </c>
      <c r="E2" s="7">
        <f t="shared" ref="E2:E10" si="0">C2-D2</f>
        <v>11.5</v>
      </c>
      <c r="F2" s="6">
        <v>1.49</v>
      </c>
      <c r="G2" s="6">
        <f>Table1[[#This Row],[Battery Weight '[lbf']]]/Table1[[#This Row],[Gross Weight '[lbf']]]</f>
        <v>0.12956521739130436</v>
      </c>
      <c r="H2" s="7">
        <f t="shared" ref="H2:H22" si="1">E2/C2</f>
        <v>1</v>
      </c>
      <c r="I2" s="8">
        <v>119</v>
      </c>
      <c r="J2" s="6" t="s">
        <v>15</v>
      </c>
      <c r="K2" s="6" t="s">
        <v>16</v>
      </c>
      <c r="L2" s="6" t="s">
        <v>17</v>
      </c>
      <c r="M2" s="6" t="s">
        <v>18</v>
      </c>
      <c r="N2" s="9" t="s">
        <v>19</v>
      </c>
    </row>
    <row r="3" spans="1:16" ht="15.75" customHeight="1" x14ac:dyDescent="0.2">
      <c r="A3" s="10" t="s">
        <v>13</v>
      </c>
      <c r="B3" s="11" t="s">
        <v>14</v>
      </c>
      <c r="C3" s="12">
        <v>17.02</v>
      </c>
      <c r="D3" s="12">
        <v>5.52</v>
      </c>
      <c r="E3" s="12">
        <f t="shared" si="0"/>
        <v>11.5</v>
      </c>
      <c r="F3" s="11">
        <v>1.49</v>
      </c>
      <c r="G3" s="11">
        <f>Table1[[#This Row],[Battery Weight '[lbf']]]/Table1[[#This Row],[Gross Weight '[lbf']]]</f>
        <v>8.7544065804935373E-2</v>
      </c>
      <c r="H3" s="12">
        <f t="shared" si="1"/>
        <v>0.67567567567567566</v>
      </c>
      <c r="I3" s="13">
        <v>163</v>
      </c>
      <c r="J3" s="11" t="s">
        <v>15</v>
      </c>
      <c r="K3" s="11" t="s">
        <v>16</v>
      </c>
      <c r="L3" s="11" t="s">
        <v>17</v>
      </c>
      <c r="M3" s="11" t="s">
        <v>18</v>
      </c>
      <c r="N3" s="14" t="s">
        <v>19</v>
      </c>
    </row>
    <row r="4" spans="1:16" ht="15.75" customHeight="1" x14ac:dyDescent="0.2">
      <c r="A4" s="5" t="s">
        <v>13</v>
      </c>
      <c r="B4" s="6" t="s">
        <v>14</v>
      </c>
      <c r="C4" s="7">
        <v>13.3</v>
      </c>
      <c r="D4" s="7">
        <v>1.8000000000000007</v>
      </c>
      <c r="E4" s="7">
        <f t="shared" si="0"/>
        <v>11.5</v>
      </c>
      <c r="F4" s="6">
        <v>1.49</v>
      </c>
      <c r="G4" s="6">
        <f>Table1[[#This Row],[Battery Weight '[lbf']]]/Table1[[#This Row],[Gross Weight '[lbf']]]</f>
        <v>0.11203007518796992</v>
      </c>
      <c r="H4" s="7">
        <f t="shared" si="1"/>
        <v>0.86466165413533835</v>
      </c>
      <c r="I4" s="8">
        <v>110</v>
      </c>
      <c r="J4" s="6" t="s">
        <v>15</v>
      </c>
      <c r="K4" s="6" t="s">
        <v>16</v>
      </c>
      <c r="L4" s="6" t="s">
        <v>17</v>
      </c>
      <c r="M4" s="6" t="s">
        <v>18</v>
      </c>
      <c r="N4" s="9" t="s">
        <v>19</v>
      </c>
    </row>
    <row r="5" spans="1:16" ht="15.75" customHeight="1" x14ac:dyDescent="0.2">
      <c r="A5" s="10" t="s">
        <v>13</v>
      </c>
      <c r="B5" s="11" t="s">
        <v>20</v>
      </c>
      <c r="C5" s="12">
        <v>8.09</v>
      </c>
      <c r="D5" s="12">
        <v>0</v>
      </c>
      <c r="E5" s="12">
        <f t="shared" si="0"/>
        <v>8.09</v>
      </c>
      <c r="F5" s="11">
        <v>1.43</v>
      </c>
      <c r="G5" s="11">
        <f>Table1[[#This Row],[Battery Weight '[lbf']]]/Table1[[#This Row],[Gross Weight '[lbf']]]</f>
        <v>0.17676143386897403</v>
      </c>
      <c r="H5" s="12">
        <f t="shared" si="1"/>
        <v>1</v>
      </c>
      <c r="I5" s="13">
        <v>140.4</v>
      </c>
      <c r="J5" s="11" t="s">
        <v>15</v>
      </c>
      <c r="K5" s="11" t="s">
        <v>16</v>
      </c>
      <c r="L5" s="11" t="s">
        <v>21</v>
      </c>
      <c r="M5" s="11" t="s">
        <v>22</v>
      </c>
      <c r="N5" s="14" t="s">
        <v>19</v>
      </c>
    </row>
    <row r="6" spans="1:16" ht="15.75" customHeight="1" x14ac:dyDescent="0.2">
      <c r="A6" s="5" t="s">
        <v>13</v>
      </c>
      <c r="B6" s="6" t="s">
        <v>20</v>
      </c>
      <c r="C6" s="7">
        <v>14.15</v>
      </c>
      <c r="D6" s="7">
        <v>6.0600000000000005</v>
      </c>
      <c r="E6" s="7">
        <f t="shared" si="0"/>
        <v>8.09</v>
      </c>
      <c r="F6" s="6">
        <v>1.43</v>
      </c>
      <c r="G6" s="6">
        <f>Table1[[#This Row],[Battery Weight '[lbf']]]/Table1[[#This Row],[Gross Weight '[lbf']]]</f>
        <v>0.10106007067137808</v>
      </c>
      <c r="H6" s="7">
        <f t="shared" si="1"/>
        <v>0.57173144876325088</v>
      </c>
      <c r="I6" s="8">
        <v>140.4</v>
      </c>
      <c r="J6" s="6" t="s">
        <v>15</v>
      </c>
      <c r="K6" s="6" t="s">
        <v>16</v>
      </c>
      <c r="L6" s="6" t="s">
        <v>21</v>
      </c>
      <c r="M6" s="6" t="s">
        <v>22</v>
      </c>
      <c r="N6" s="9" t="s">
        <v>19</v>
      </c>
    </row>
    <row r="7" spans="1:16" ht="15.75" customHeight="1" x14ac:dyDescent="0.2">
      <c r="A7" s="10" t="s">
        <v>13</v>
      </c>
      <c r="B7" s="11" t="s">
        <v>20</v>
      </c>
      <c r="C7" s="12">
        <v>11.84</v>
      </c>
      <c r="D7" s="12">
        <v>3.75</v>
      </c>
      <c r="E7" s="12">
        <f t="shared" si="0"/>
        <v>8.09</v>
      </c>
      <c r="F7" s="11">
        <v>1.43</v>
      </c>
      <c r="G7" s="11">
        <f>Table1[[#This Row],[Battery Weight '[lbf']]]/Table1[[#This Row],[Gross Weight '[lbf']]]</f>
        <v>0.12077702702702703</v>
      </c>
      <c r="H7" s="12">
        <f t="shared" si="1"/>
        <v>0.68327702702702697</v>
      </c>
      <c r="I7" s="13">
        <v>134.1</v>
      </c>
      <c r="J7" s="11" t="s">
        <v>15</v>
      </c>
      <c r="K7" s="11" t="s">
        <v>16</v>
      </c>
      <c r="L7" s="11" t="s">
        <v>21</v>
      </c>
      <c r="M7" s="11" t="s">
        <v>22</v>
      </c>
      <c r="N7" s="14" t="s">
        <v>19</v>
      </c>
    </row>
    <row r="8" spans="1:16" ht="15.75" customHeight="1" x14ac:dyDescent="0.2">
      <c r="A8" s="5" t="s">
        <v>13</v>
      </c>
      <c r="B8" s="6" t="s">
        <v>23</v>
      </c>
      <c r="C8" s="7">
        <v>11.16</v>
      </c>
      <c r="D8" s="7">
        <v>0</v>
      </c>
      <c r="E8" s="7">
        <f t="shared" si="0"/>
        <v>11.16</v>
      </c>
      <c r="F8" s="6">
        <v>1.55</v>
      </c>
      <c r="G8" s="6">
        <f>Table1[[#This Row],[Battery Weight '[lbf']]]/Table1[[#This Row],[Gross Weight '[lbf']]]</f>
        <v>0.1388888888888889</v>
      </c>
      <c r="H8" s="7">
        <f t="shared" si="1"/>
        <v>1</v>
      </c>
      <c r="I8" s="8">
        <v>88</v>
      </c>
      <c r="J8" s="6" t="s">
        <v>15</v>
      </c>
      <c r="K8" s="6" t="s">
        <v>16</v>
      </c>
      <c r="L8" s="6" t="s">
        <v>17</v>
      </c>
      <c r="M8" s="6" t="s">
        <v>18</v>
      </c>
      <c r="N8" s="9" t="s">
        <v>19</v>
      </c>
      <c r="P8" s="1"/>
    </row>
    <row r="9" spans="1:16" ht="15.75" customHeight="1" x14ac:dyDescent="0.2">
      <c r="A9" s="10" t="s">
        <v>13</v>
      </c>
      <c r="B9" s="11" t="s">
        <v>23</v>
      </c>
      <c r="C9" s="12">
        <v>19.52</v>
      </c>
      <c r="D9" s="12">
        <v>8.31</v>
      </c>
      <c r="E9" s="12">
        <f t="shared" si="0"/>
        <v>11.209999999999999</v>
      </c>
      <c r="F9" s="11">
        <v>1.55</v>
      </c>
      <c r="G9" s="11">
        <f>Table1[[#This Row],[Battery Weight '[lbf']]]/Table1[[#This Row],[Gross Weight '[lbf']]]</f>
        <v>7.9405737704918031E-2</v>
      </c>
      <c r="H9" s="12">
        <f t="shared" si="1"/>
        <v>0.57428278688524592</v>
      </c>
      <c r="I9" s="13">
        <v>117.7</v>
      </c>
      <c r="J9" s="11" t="s">
        <v>15</v>
      </c>
      <c r="K9" s="11" t="s">
        <v>16</v>
      </c>
      <c r="L9" s="11" t="s">
        <v>17</v>
      </c>
      <c r="M9" s="11" t="s">
        <v>18</v>
      </c>
      <c r="N9" s="14" t="s">
        <v>19</v>
      </c>
    </row>
    <row r="10" spans="1:16" ht="15.75" customHeight="1" x14ac:dyDescent="0.2">
      <c r="A10" s="5" t="s">
        <v>13</v>
      </c>
      <c r="B10" s="6" t="s">
        <v>23</v>
      </c>
      <c r="C10" s="7">
        <v>14.72</v>
      </c>
      <c r="D10" s="7">
        <v>3.56</v>
      </c>
      <c r="E10" s="7">
        <f t="shared" si="0"/>
        <v>11.16</v>
      </c>
      <c r="F10" s="6">
        <v>1.55</v>
      </c>
      <c r="G10" s="6">
        <f>Table1[[#This Row],[Battery Weight '[lbf']]]/Table1[[#This Row],[Gross Weight '[lbf']]]</f>
        <v>0.10529891304347826</v>
      </c>
      <c r="H10" s="7">
        <f t="shared" si="1"/>
        <v>0.75815217391304346</v>
      </c>
      <c r="I10" s="8">
        <v>88</v>
      </c>
      <c r="J10" s="6" t="s">
        <v>15</v>
      </c>
      <c r="K10" s="6" t="s">
        <v>16</v>
      </c>
      <c r="L10" s="6" t="s">
        <v>17</v>
      </c>
      <c r="M10" s="6" t="s">
        <v>18</v>
      </c>
      <c r="N10" s="9" t="s">
        <v>19</v>
      </c>
    </row>
    <row r="11" spans="1:16" ht="15.75" customHeight="1" x14ac:dyDescent="0.2">
      <c r="A11" s="10" t="s">
        <v>13</v>
      </c>
      <c r="B11" s="11" t="s">
        <v>24</v>
      </c>
      <c r="C11" s="11">
        <v>12.18</v>
      </c>
      <c r="D11" s="11">
        <v>0</v>
      </c>
      <c r="E11" s="11">
        <v>10.77</v>
      </c>
      <c r="F11" s="11">
        <v>1.41</v>
      </c>
      <c r="G11" s="11">
        <f>Table1[[#This Row],[Battery Weight '[lbf']]]/Table1[[#This Row],[Gross Weight '[lbf']]]</f>
        <v>0.11576354679802955</v>
      </c>
      <c r="H11" s="12">
        <f t="shared" si="1"/>
        <v>0.88423645320197042</v>
      </c>
      <c r="I11" s="11">
        <v>150</v>
      </c>
      <c r="J11" s="11" t="s">
        <v>15</v>
      </c>
      <c r="K11" s="11" t="s">
        <v>16</v>
      </c>
      <c r="L11" s="11" t="s">
        <v>17</v>
      </c>
      <c r="M11" s="11" t="s">
        <v>22</v>
      </c>
      <c r="N11" s="14" t="s">
        <v>25</v>
      </c>
    </row>
    <row r="12" spans="1:16" ht="15.75" customHeight="1" x14ac:dyDescent="0.2">
      <c r="A12" s="5" t="s">
        <v>13</v>
      </c>
      <c r="B12" s="6" t="s">
        <v>24</v>
      </c>
      <c r="C12" s="6">
        <v>28.18</v>
      </c>
      <c r="D12" s="6">
        <v>16</v>
      </c>
      <c r="E12" s="6">
        <v>10.77</v>
      </c>
      <c r="F12" s="6">
        <v>1.41</v>
      </c>
      <c r="G12" s="6">
        <f>Table1[[#This Row],[Battery Weight '[lbf']]]/Table1[[#This Row],[Gross Weight '[lbf']]]</f>
        <v>5.0035486160397442E-2</v>
      </c>
      <c r="H12" s="7">
        <f t="shared" si="1"/>
        <v>0.38218594748048262</v>
      </c>
      <c r="I12" s="6">
        <v>83</v>
      </c>
      <c r="J12" s="6" t="s">
        <v>15</v>
      </c>
      <c r="K12" s="6" t="s">
        <v>16</v>
      </c>
      <c r="L12" s="6" t="s">
        <v>17</v>
      </c>
      <c r="M12" s="6" t="s">
        <v>22</v>
      </c>
      <c r="N12" s="9" t="s">
        <v>25</v>
      </c>
    </row>
    <row r="13" spans="1:16" ht="15.75" customHeight="1" x14ac:dyDescent="0.2">
      <c r="A13" s="10" t="s">
        <v>13</v>
      </c>
      <c r="B13" s="11" t="s">
        <v>24</v>
      </c>
      <c r="C13" s="11">
        <v>13.54</v>
      </c>
      <c r="D13" s="11">
        <v>1.36</v>
      </c>
      <c r="E13" s="11">
        <v>10.77</v>
      </c>
      <c r="F13" s="11">
        <v>1.41</v>
      </c>
      <c r="G13" s="11">
        <f>Table1[[#This Row],[Battery Weight '[lbf']]]/Table1[[#This Row],[Gross Weight '[lbf']]]</f>
        <v>0.10413589364844904</v>
      </c>
      <c r="H13" s="12">
        <f t="shared" si="1"/>
        <v>0.79542097488921715</v>
      </c>
      <c r="I13" s="11">
        <v>150</v>
      </c>
      <c r="J13" s="11" t="s">
        <v>15</v>
      </c>
      <c r="K13" s="11" t="s">
        <v>16</v>
      </c>
      <c r="L13" s="11" t="s">
        <v>26</v>
      </c>
      <c r="M13" s="11" t="s">
        <v>22</v>
      </c>
      <c r="N13" s="14" t="s">
        <v>25</v>
      </c>
    </row>
    <row r="14" spans="1:16" ht="15.75" customHeight="1" x14ac:dyDescent="0.2">
      <c r="A14" s="5" t="s">
        <v>13</v>
      </c>
      <c r="B14" s="6" t="s">
        <v>27</v>
      </c>
      <c r="C14" s="6">
        <v>10.61</v>
      </c>
      <c r="D14" s="6">
        <v>0</v>
      </c>
      <c r="E14" s="6">
        <v>8.7799999999999994</v>
      </c>
      <c r="F14" s="6">
        <v>1.83</v>
      </c>
      <c r="G14" s="6">
        <f>Table1[[#This Row],[Battery Weight '[lbf']]]/Table1[[#This Row],[Gross Weight '[lbf']]]</f>
        <v>0.17247879359095195</v>
      </c>
      <c r="H14" s="7">
        <f t="shared" si="1"/>
        <v>0.82752120640904803</v>
      </c>
      <c r="I14" s="6">
        <v>82</v>
      </c>
      <c r="J14" s="6" t="s">
        <v>15</v>
      </c>
      <c r="K14" s="6" t="s">
        <v>16</v>
      </c>
      <c r="L14" s="6" t="s">
        <v>17</v>
      </c>
      <c r="M14" s="6" t="s">
        <v>22</v>
      </c>
      <c r="N14" s="9" t="s">
        <v>25</v>
      </c>
    </row>
    <row r="15" spans="1:16" ht="15.75" customHeight="1" x14ac:dyDescent="0.2">
      <c r="A15" s="10" t="s">
        <v>13</v>
      </c>
      <c r="B15" s="11" t="s">
        <v>27</v>
      </c>
      <c r="C15" s="11">
        <v>19.940000000000001</v>
      </c>
      <c r="D15" s="11">
        <v>9.33</v>
      </c>
      <c r="E15" s="11">
        <v>8.7799999999999994</v>
      </c>
      <c r="F15" s="11">
        <v>1.83</v>
      </c>
      <c r="G15" s="11">
        <f>Table1[[#This Row],[Battery Weight '[lbf']]]/Table1[[#This Row],[Gross Weight '[lbf']]]</f>
        <v>9.1775325977933794E-2</v>
      </c>
      <c r="H15" s="12">
        <f t="shared" si="1"/>
        <v>0.44032096288866596</v>
      </c>
      <c r="I15" s="11">
        <v>92</v>
      </c>
      <c r="J15" s="11" t="s">
        <v>15</v>
      </c>
      <c r="K15" s="11" t="s">
        <v>16</v>
      </c>
      <c r="L15" s="11" t="s">
        <v>17</v>
      </c>
      <c r="M15" s="11" t="s">
        <v>22</v>
      </c>
      <c r="N15" s="14" t="s">
        <v>25</v>
      </c>
    </row>
    <row r="16" spans="1:16" ht="15.75" customHeight="1" x14ac:dyDescent="0.2">
      <c r="A16" s="5" t="s">
        <v>13</v>
      </c>
      <c r="B16" s="6" t="s">
        <v>27</v>
      </c>
      <c r="C16" s="6">
        <v>11.85</v>
      </c>
      <c r="D16" s="6">
        <v>1.24</v>
      </c>
      <c r="E16" s="6">
        <v>8.7799999999999994</v>
      </c>
      <c r="F16" s="6">
        <v>1.83</v>
      </c>
      <c r="G16" s="6">
        <f>Table1[[#This Row],[Battery Weight '[lbf']]]/Table1[[#This Row],[Gross Weight '[lbf']]]</f>
        <v>0.15443037974683546</v>
      </c>
      <c r="H16" s="7">
        <f t="shared" si="1"/>
        <v>0.74092827004219408</v>
      </c>
      <c r="I16" s="6">
        <v>131</v>
      </c>
      <c r="J16" s="6" t="s">
        <v>15</v>
      </c>
      <c r="K16" s="6" t="s">
        <v>16</v>
      </c>
      <c r="L16" s="6" t="s">
        <v>17</v>
      </c>
      <c r="M16" s="6" t="s">
        <v>22</v>
      </c>
      <c r="N16" s="9" t="s">
        <v>25</v>
      </c>
    </row>
    <row r="17" spans="1:14" ht="15.75" customHeight="1" x14ac:dyDescent="0.2">
      <c r="A17" s="10" t="s">
        <v>13</v>
      </c>
      <c r="B17" s="11" t="s">
        <v>28</v>
      </c>
      <c r="C17" s="11">
        <v>5.08</v>
      </c>
      <c r="D17" s="11">
        <v>0</v>
      </c>
      <c r="E17" s="11">
        <v>3.9</v>
      </c>
      <c r="F17" s="11">
        <v>1.18</v>
      </c>
      <c r="G17" s="11">
        <f>Table1[[#This Row],[Battery Weight '[lbf']]]/Table1[[#This Row],[Gross Weight '[lbf']]]</f>
        <v>0.23228346456692911</v>
      </c>
      <c r="H17" s="12">
        <f t="shared" si="1"/>
        <v>0.76771653543307083</v>
      </c>
      <c r="I17" s="11">
        <v>119</v>
      </c>
      <c r="J17" s="11" t="s">
        <v>15</v>
      </c>
      <c r="K17" s="11" t="s">
        <v>29</v>
      </c>
      <c r="L17" s="11" t="s">
        <v>17</v>
      </c>
      <c r="M17" s="11" t="s">
        <v>22</v>
      </c>
      <c r="N17" s="14" t="s">
        <v>19</v>
      </c>
    </row>
    <row r="18" spans="1:14" ht="15.75" customHeight="1" x14ac:dyDescent="0.2">
      <c r="A18" s="5" t="s">
        <v>13</v>
      </c>
      <c r="B18" s="6" t="s">
        <v>28</v>
      </c>
      <c r="C18" s="6">
        <v>9.2799999999999994</v>
      </c>
      <c r="D18" s="6">
        <v>4.2</v>
      </c>
      <c r="E18" s="6">
        <v>3.9</v>
      </c>
      <c r="F18" s="6">
        <v>1.18</v>
      </c>
      <c r="G18" s="6">
        <f>Table1[[#This Row],[Battery Weight '[lbf']]]/Table1[[#This Row],[Gross Weight '[lbf']]]</f>
        <v>0.12715517241379309</v>
      </c>
      <c r="H18" s="7">
        <f t="shared" si="1"/>
        <v>0.42025862068965519</v>
      </c>
      <c r="I18" s="6">
        <v>119</v>
      </c>
      <c r="J18" s="6" t="s">
        <v>15</v>
      </c>
      <c r="K18" s="6" t="s">
        <v>29</v>
      </c>
      <c r="L18" s="6" t="s">
        <v>17</v>
      </c>
      <c r="M18" s="6" t="s">
        <v>22</v>
      </c>
      <c r="N18" s="9" t="s">
        <v>19</v>
      </c>
    </row>
    <row r="19" spans="1:14" ht="15.75" customHeight="1" x14ac:dyDescent="0.2">
      <c r="A19" s="10" t="s">
        <v>13</v>
      </c>
      <c r="B19" s="11" t="s">
        <v>28</v>
      </c>
      <c r="C19" s="11">
        <v>5.35</v>
      </c>
      <c r="D19" s="11">
        <v>0.59</v>
      </c>
      <c r="E19" s="11">
        <v>3.9</v>
      </c>
      <c r="F19" s="11">
        <v>1.18</v>
      </c>
      <c r="G19" s="11">
        <f>Table1[[#This Row],[Battery Weight '[lbf']]]/Table1[[#This Row],[Gross Weight '[lbf']]]</f>
        <v>0.22056074766355141</v>
      </c>
      <c r="H19" s="12">
        <f t="shared" si="1"/>
        <v>0.72897196261682251</v>
      </c>
      <c r="I19" s="11">
        <v>151</v>
      </c>
      <c r="J19" s="11" t="s">
        <v>15</v>
      </c>
      <c r="K19" s="11" t="s">
        <v>29</v>
      </c>
      <c r="L19" s="11" t="s">
        <v>17</v>
      </c>
      <c r="M19" s="11" t="s">
        <v>22</v>
      </c>
      <c r="N19" s="14" t="s">
        <v>19</v>
      </c>
    </row>
    <row r="20" spans="1:14" ht="15.75" customHeight="1" x14ac:dyDescent="0.2">
      <c r="A20" s="5" t="s">
        <v>13</v>
      </c>
      <c r="B20" s="6" t="s">
        <v>30</v>
      </c>
      <c r="C20" s="6">
        <v>11.88</v>
      </c>
      <c r="D20" s="6">
        <v>0</v>
      </c>
      <c r="E20" s="6">
        <f t="shared" ref="E20:E22" si="2">C20-D20</f>
        <v>11.88</v>
      </c>
      <c r="F20" s="6">
        <v>1.39</v>
      </c>
      <c r="G20" s="6">
        <f>Table1[[#This Row],[Battery Weight '[lbf']]]/Table1[[#This Row],[Gross Weight '[lbf']]]</f>
        <v>0.11700336700336698</v>
      </c>
      <c r="H20" s="7">
        <f t="shared" si="1"/>
        <v>1</v>
      </c>
      <c r="I20" s="6">
        <v>99</v>
      </c>
      <c r="J20" s="6" t="s">
        <v>15</v>
      </c>
      <c r="K20" s="6" t="s">
        <v>16</v>
      </c>
      <c r="L20" s="6" t="s">
        <v>17</v>
      </c>
      <c r="M20" s="6" t="s">
        <v>22</v>
      </c>
      <c r="N20" s="9" t="s">
        <v>19</v>
      </c>
    </row>
    <row r="21" spans="1:14" ht="15.75" customHeight="1" x14ac:dyDescent="0.2">
      <c r="A21" s="10" t="s">
        <v>13</v>
      </c>
      <c r="B21" s="11" t="s">
        <v>30</v>
      </c>
      <c r="C21" s="11">
        <v>15.17</v>
      </c>
      <c r="D21" s="11">
        <v>2.78</v>
      </c>
      <c r="E21" s="11">
        <f t="shared" si="2"/>
        <v>12.39</v>
      </c>
      <c r="F21" s="11">
        <v>1.39</v>
      </c>
      <c r="G21" s="11">
        <f>Table1[[#This Row],[Battery Weight '[lbf']]]/Table1[[#This Row],[Gross Weight '[lbf']]]</f>
        <v>9.1628213579433085E-2</v>
      </c>
      <c r="H21" s="12">
        <f t="shared" si="1"/>
        <v>0.81674357284113386</v>
      </c>
      <c r="I21" s="11">
        <v>113</v>
      </c>
      <c r="J21" s="11" t="s">
        <v>15</v>
      </c>
      <c r="K21" s="11" t="s">
        <v>16</v>
      </c>
      <c r="L21" s="11" t="s">
        <v>17</v>
      </c>
      <c r="M21" s="11" t="s">
        <v>22</v>
      </c>
      <c r="N21" s="14" t="s">
        <v>19</v>
      </c>
    </row>
    <row r="22" spans="1:14" ht="15.75" customHeight="1" x14ac:dyDescent="0.2">
      <c r="A22" s="5" t="s">
        <v>13</v>
      </c>
      <c r="B22" s="6" t="s">
        <v>30</v>
      </c>
      <c r="C22" s="6">
        <v>14.89</v>
      </c>
      <c r="D22" s="6">
        <v>2.5</v>
      </c>
      <c r="E22" s="6">
        <f t="shared" si="2"/>
        <v>12.39</v>
      </c>
      <c r="F22" s="6">
        <v>1.39</v>
      </c>
      <c r="G22" s="6">
        <f>Table1[[#This Row],[Battery Weight '[lbf']]]/Table1[[#This Row],[Gross Weight '[lbf']]]</f>
        <v>9.3351242444593682E-2</v>
      </c>
      <c r="H22" s="7">
        <f t="shared" si="1"/>
        <v>0.832102081934184</v>
      </c>
      <c r="I22" s="6">
        <v>77</v>
      </c>
      <c r="J22" s="6" t="s">
        <v>15</v>
      </c>
      <c r="K22" s="6" t="s">
        <v>16</v>
      </c>
      <c r="L22" s="6" t="s">
        <v>17</v>
      </c>
      <c r="M22" s="6" t="s">
        <v>22</v>
      </c>
      <c r="N22" s="9" t="s">
        <v>19</v>
      </c>
    </row>
    <row r="23" spans="1:14" ht="15.75" customHeight="1" x14ac:dyDescent="0.2">
      <c r="A23" s="5" t="s">
        <v>13</v>
      </c>
      <c r="B23" s="6" t="s">
        <v>31</v>
      </c>
      <c r="C23" s="6">
        <v>12.13</v>
      </c>
      <c r="D23" s="6">
        <v>0</v>
      </c>
      <c r="E23" s="6">
        <f t="shared" ref="E23:E28" si="3">C23-D23</f>
        <v>12.13</v>
      </c>
      <c r="F23" s="6">
        <v>1.59</v>
      </c>
      <c r="G23" s="6">
        <f>Table1[[#This Row],[Battery Weight '[lbf']]]/Table1[[#This Row],[Gross Weight '[lbf']]]</f>
        <v>0.13107996702390767</v>
      </c>
      <c r="H23" s="7">
        <f t="shared" ref="H23:H57" si="4">E23/C23</f>
        <v>1</v>
      </c>
      <c r="I23" s="6"/>
      <c r="J23" s="6" t="s">
        <v>15</v>
      </c>
      <c r="K23" s="6" t="s">
        <v>16</v>
      </c>
      <c r="L23" s="6" t="s">
        <v>32</v>
      </c>
      <c r="M23" s="6" t="s">
        <v>18</v>
      </c>
      <c r="N23" s="9" t="s">
        <v>19</v>
      </c>
    </row>
    <row r="24" spans="1:14" ht="15.75" customHeight="1" x14ac:dyDescent="0.2">
      <c r="A24" s="10" t="s">
        <v>13</v>
      </c>
      <c r="B24" s="11" t="s">
        <v>31</v>
      </c>
      <c r="C24" s="11">
        <v>20.51</v>
      </c>
      <c r="D24" s="11">
        <v>8.3800000000000008</v>
      </c>
      <c r="E24" s="11">
        <f t="shared" si="3"/>
        <v>12.13</v>
      </c>
      <c r="F24" s="11">
        <v>1.59</v>
      </c>
      <c r="G24" s="11">
        <f>Table1[[#This Row],[Battery Weight '[lbf']]]/Table1[[#This Row],[Gross Weight '[lbf']]]</f>
        <v>7.7523159434422229E-2</v>
      </c>
      <c r="H24" s="12">
        <f t="shared" si="4"/>
        <v>0.59141882008776203</v>
      </c>
      <c r="I24" s="11"/>
      <c r="J24" s="11" t="s">
        <v>15</v>
      </c>
      <c r="K24" s="11" t="s">
        <v>16</v>
      </c>
      <c r="L24" s="11" t="s">
        <v>32</v>
      </c>
      <c r="M24" s="11" t="s">
        <v>18</v>
      </c>
      <c r="N24" s="14" t="s">
        <v>19</v>
      </c>
    </row>
    <row r="25" spans="1:14" ht="15.75" customHeight="1" x14ac:dyDescent="0.2">
      <c r="A25" s="5" t="s">
        <v>13</v>
      </c>
      <c r="B25" s="6" t="s">
        <v>31</v>
      </c>
      <c r="C25" s="6">
        <v>16.13</v>
      </c>
      <c r="D25" s="6">
        <v>4</v>
      </c>
      <c r="E25" s="6">
        <f t="shared" si="3"/>
        <v>12.129999999999999</v>
      </c>
      <c r="F25" s="6">
        <v>1.59</v>
      </c>
      <c r="G25" s="6">
        <f>Table1[[#This Row],[Battery Weight '[lbf']]]/Table1[[#This Row],[Gross Weight '[lbf']]]</f>
        <v>9.8574085554866714E-2</v>
      </c>
      <c r="H25" s="7">
        <f t="shared" si="4"/>
        <v>0.75201487910725351</v>
      </c>
      <c r="I25" s="6"/>
      <c r="J25" s="6" t="s">
        <v>15</v>
      </c>
      <c r="K25" s="6" t="s">
        <v>16</v>
      </c>
      <c r="L25" s="6" t="s">
        <v>32</v>
      </c>
      <c r="M25" s="6" t="s">
        <v>18</v>
      </c>
      <c r="N25" s="9" t="s">
        <v>19</v>
      </c>
    </row>
    <row r="26" spans="1:14" ht="15.75" customHeight="1" x14ac:dyDescent="0.2">
      <c r="A26" s="10" t="s">
        <v>13</v>
      </c>
      <c r="B26" s="11" t="s">
        <v>33</v>
      </c>
      <c r="C26" s="11">
        <v>12.52</v>
      </c>
      <c r="D26" s="11">
        <v>0</v>
      </c>
      <c r="E26" s="11">
        <f t="shared" si="3"/>
        <v>12.52</v>
      </c>
      <c r="F26" s="11">
        <v>1.65</v>
      </c>
      <c r="G26" s="11">
        <f>Table1[[#This Row],[Battery Weight '[lbf']]]/Table1[[#This Row],[Gross Weight '[lbf']]]</f>
        <v>0.13178913738019168</v>
      </c>
      <c r="H26" s="12">
        <f t="shared" si="4"/>
        <v>1</v>
      </c>
      <c r="I26" s="11">
        <v>71.2</v>
      </c>
      <c r="J26" s="11" t="s">
        <v>15</v>
      </c>
      <c r="K26" s="11" t="s">
        <v>16</v>
      </c>
      <c r="L26" s="11" t="s">
        <v>17</v>
      </c>
      <c r="M26" s="11" t="s">
        <v>22</v>
      </c>
      <c r="N26" s="14" t="s">
        <v>25</v>
      </c>
    </row>
    <row r="27" spans="1:14" ht="15.75" customHeight="1" x14ac:dyDescent="0.2">
      <c r="A27" s="5" t="s">
        <v>13</v>
      </c>
      <c r="B27" s="6" t="s">
        <v>33</v>
      </c>
      <c r="C27" s="6">
        <v>14.2</v>
      </c>
      <c r="D27" s="6">
        <v>1.62</v>
      </c>
      <c r="E27" s="6">
        <f t="shared" si="3"/>
        <v>12.579999999999998</v>
      </c>
      <c r="F27" s="6">
        <v>1.65</v>
      </c>
      <c r="G27" s="6">
        <f>Table1[[#This Row],[Battery Weight '[lbf']]]/Table1[[#This Row],[Gross Weight '[lbf']]]</f>
        <v>0.11619718309859155</v>
      </c>
      <c r="H27" s="7">
        <f t="shared" si="4"/>
        <v>0.88591549295774641</v>
      </c>
      <c r="I27" s="6">
        <v>71.2</v>
      </c>
      <c r="J27" s="6" t="s">
        <v>15</v>
      </c>
      <c r="K27" s="6" t="s">
        <v>16</v>
      </c>
      <c r="L27" s="6" t="s">
        <v>17</v>
      </c>
      <c r="M27" s="6" t="s">
        <v>22</v>
      </c>
      <c r="N27" s="9" t="s">
        <v>25</v>
      </c>
    </row>
    <row r="28" spans="1:14" ht="15.75" customHeight="1" x14ac:dyDescent="0.2">
      <c r="A28" s="10" t="s">
        <v>13</v>
      </c>
      <c r="B28" s="11" t="s">
        <v>33</v>
      </c>
      <c r="C28" s="11">
        <v>14.53</v>
      </c>
      <c r="D28" s="11">
        <v>2.0299999999999998</v>
      </c>
      <c r="E28" s="11">
        <f t="shared" si="3"/>
        <v>12.5</v>
      </c>
      <c r="F28" s="11">
        <v>1.65</v>
      </c>
      <c r="G28" s="11">
        <f>Table1[[#This Row],[Battery Weight '[lbf']]]/Table1[[#This Row],[Gross Weight '[lbf']]]</f>
        <v>0.11355815554026152</v>
      </c>
      <c r="H28" s="12">
        <f t="shared" si="4"/>
        <v>0.86028905712319348</v>
      </c>
      <c r="I28" s="11">
        <v>67.8</v>
      </c>
      <c r="J28" s="11" t="s">
        <v>15</v>
      </c>
      <c r="K28" s="11" t="s">
        <v>16</v>
      </c>
      <c r="L28" s="11" t="s">
        <v>17</v>
      </c>
      <c r="M28" s="11" t="s">
        <v>22</v>
      </c>
      <c r="N28" s="14" t="s">
        <v>25</v>
      </c>
    </row>
    <row r="29" spans="1:14" ht="12.75" x14ac:dyDescent="0.2">
      <c r="A29" s="5" t="s">
        <v>13</v>
      </c>
      <c r="B29" s="6" t="s">
        <v>34</v>
      </c>
      <c r="C29" s="6">
        <v>12.5</v>
      </c>
      <c r="D29" s="6">
        <v>0</v>
      </c>
      <c r="E29" s="6">
        <v>9.82</v>
      </c>
      <c r="F29" s="6">
        <v>2.68</v>
      </c>
      <c r="G29" s="6">
        <f>Table1[[#This Row],[Battery Weight '[lbf']]]/Table1[[#This Row],[Gross Weight '[lbf']]]</f>
        <v>0.21440000000000001</v>
      </c>
      <c r="H29" s="7">
        <f t="shared" si="4"/>
        <v>0.78560000000000008</v>
      </c>
      <c r="I29" s="6">
        <v>95.33</v>
      </c>
      <c r="J29" s="6" t="s">
        <v>15</v>
      </c>
      <c r="K29" s="6" t="s">
        <v>16</v>
      </c>
      <c r="L29" s="6" t="s">
        <v>17</v>
      </c>
      <c r="M29" s="6" t="s">
        <v>18</v>
      </c>
      <c r="N29" s="9" t="s">
        <v>19</v>
      </c>
    </row>
    <row r="30" spans="1:14" ht="12.75" x14ac:dyDescent="0.2">
      <c r="A30" s="10" t="s">
        <v>13</v>
      </c>
      <c r="B30" s="11" t="s">
        <v>34</v>
      </c>
      <c r="C30" s="11">
        <v>16.93</v>
      </c>
      <c r="D30" s="11">
        <v>4.43</v>
      </c>
      <c r="E30" s="11">
        <v>9.82</v>
      </c>
      <c r="F30" s="11">
        <v>2.68</v>
      </c>
      <c r="G30" s="11">
        <f>Table1[[#This Row],[Battery Weight '[lbf']]]/Table1[[#This Row],[Gross Weight '[lbf']]]</f>
        <v>0.15829887773183698</v>
      </c>
      <c r="H30" s="12">
        <f t="shared" si="4"/>
        <v>0.58003544004725338</v>
      </c>
      <c r="I30" s="11">
        <v>95.33</v>
      </c>
      <c r="J30" s="11" t="s">
        <v>15</v>
      </c>
      <c r="K30" s="11" t="s">
        <v>16</v>
      </c>
      <c r="L30" s="11" t="s">
        <v>17</v>
      </c>
      <c r="M30" s="11" t="s">
        <v>18</v>
      </c>
      <c r="N30" s="14" t="s">
        <v>19</v>
      </c>
    </row>
    <row r="31" spans="1:14" ht="12.75" x14ac:dyDescent="0.2">
      <c r="A31" s="5" t="s">
        <v>13</v>
      </c>
      <c r="B31" s="6" t="s">
        <v>34</v>
      </c>
      <c r="C31" s="6">
        <v>13.91</v>
      </c>
      <c r="D31" s="6">
        <v>1.41</v>
      </c>
      <c r="E31" s="6">
        <v>9.82</v>
      </c>
      <c r="F31" s="6">
        <v>2.68</v>
      </c>
      <c r="G31" s="6">
        <f>Table1[[#This Row],[Battery Weight '[lbf']]]/Table1[[#This Row],[Gross Weight '[lbf']]]</f>
        <v>0.19266714593817399</v>
      </c>
      <c r="H31" s="7">
        <f t="shared" si="4"/>
        <v>0.70596693026599566</v>
      </c>
      <c r="I31" s="6">
        <v>95.33</v>
      </c>
      <c r="J31" s="6" t="s">
        <v>15</v>
      </c>
      <c r="K31" s="6" t="s">
        <v>16</v>
      </c>
      <c r="L31" s="6" t="s">
        <v>17</v>
      </c>
      <c r="M31" s="6" t="s">
        <v>18</v>
      </c>
      <c r="N31" s="9" t="s">
        <v>19</v>
      </c>
    </row>
    <row r="32" spans="1:14" ht="12.75" x14ac:dyDescent="0.2">
      <c r="A32" s="10" t="s">
        <v>13</v>
      </c>
      <c r="B32" s="11" t="s">
        <v>35</v>
      </c>
      <c r="C32" s="11">
        <v>8.98</v>
      </c>
      <c r="D32" s="11">
        <v>0</v>
      </c>
      <c r="E32" s="11">
        <v>6.22</v>
      </c>
      <c r="F32" s="11">
        <v>2.76</v>
      </c>
      <c r="G32" s="11">
        <f>Table1[[#This Row],[Battery Weight '[lbf']]]/Table1[[#This Row],[Gross Weight '[lbf']]]</f>
        <v>0.30734966592427615</v>
      </c>
      <c r="H32" s="12">
        <f t="shared" si="4"/>
        <v>0.69265033407572374</v>
      </c>
      <c r="I32" s="11">
        <v>40.68</v>
      </c>
      <c r="J32" s="11" t="s">
        <v>15</v>
      </c>
      <c r="K32" s="11" t="s">
        <v>16</v>
      </c>
      <c r="L32" s="11" t="s">
        <v>17</v>
      </c>
      <c r="M32" s="11" t="s">
        <v>22</v>
      </c>
      <c r="N32" s="14" t="s">
        <v>19</v>
      </c>
    </row>
    <row r="33" spans="1:14" ht="12.75" x14ac:dyDescent="0.2">
      <c r="A33" s="5" t="s">
        <v>13</v>
      </c>
      <c r="B33" s="6" t="s">
        <v>35</v>
      </c>
      <c r="C33" s="6">
        <v>18.239999999999998</v>
      </c>
      <c r="D33" s="6">
        <v>9.26</v>
      </c>
      <c r="E33" s="6">
        <v>6.22</v>
      </c>
      <c r="F33" s="6">
        <v>2.76</v>
      </c>
      <c r="G33" s="6">
        <f>Table1[[#This Row],[Battery Weight '[lbf']]]/Table1[[#This Row],[Gross Weight '[lbf']]]</f>
        <v>0.15131578947368421</v>
      </c>
      <c r="H33" s="7">
        <f t="shared" si="4"/>
        <v>0.34100877192982459</v>
      </c>
      <c r="I33" s="6">
        <v>58.01</v>
      </c>
      <c r="J33" s="6" t="s">
        <v>15</v>
      </c>
      <c r="K33" s="6" t="s">
        <v>16</v>
      </c>
      <c r="L33" s="6" t="s">
        <v>17</v>
      </c>
      <c r="M33" s="6" t="s">
        <v>22</v>
      </c>
      <c r="N33" s="9" t="s">
        <v>19</v>
      </c>
    </row>
    <row r="34" spans="1:14" ht="12.75" x14ac:dyDescent="0.2">
      <c r="A34" s="10" t="s">
        <v>13</v>
      </c>
      <c r="B34" s="11" t="s">
        <v>35</v>
      </c>
      <c r="C34" s="11">
        <v>9.73</v>
      </c>
      <c r="D34" s="11">
        <v>0.75</v>
      </c>
      <c r="E34" s="11">
        <v>6.22</v>
      </c>
      <c r="F34" s="11">
        <v>2.76</v>
      </c>
      <c r="G34" s="11">
        <f>Table1[[#This Row],[Battery Weight '[lbf']]]/Table1[[#This Row],[Gross Weight '[lbf']]]</f>
        <v>0.28365878725590954</v>
      </c>
      <c r="H34" s="12">
        <f t="shared" si="4"/>
        <v>0.63926002055498454</v>
      </c>
      <c r="I34" s="11">
        <v>42.52</v>
      </c>
      <c r="J34" s="11" t="s">
        <v>15</v>
      </c>
      <c r="K34" s="11" t="s">
        <v>16</v>
      </c>
      <c r="L34" s="11" t="s">
        <v>17</v>
      </c>
      <c r="M34" s="11" t="s">
        <v>22</v>
      </c>
      <c r="N34" s="14" t="s">
        <v>19</v>
      </c>
    </row>
    <row r="35" spans="1:14" ht="12.75" x14ac:dyDescent="0.2">
      <c r="A35" s="5" t="s">
        <v>13</v>
      </c>
      <c r="B35" s="6" t="s">
        <v>36</v>
      </c>
      <c r="C35" s="6">
        <v>6.3410000000000002</v>
      </c>
      <c r="D35" s="6">
        <v>9.7000000000000003E-2</v>
      </c>
      <c r="E35" s="6">
        <v>5.4279999999999999</v>
      </c>
      <c r="F35" s="6">
        <v>0.81599999999999995</v>
      </c>
      <c r="G35" s="6">
        <f>Table1[[#This Row],[Battery Weight '[lbf']]]/Table1[[#This Row],[Gross Weight '[lbf']]]</f>
        <v>0.12868632707774796</v>
      </c>
      <c r="H35" s="7">
        <f t="shared" si="4"/>
        <v>0.85601640119854905</v>
      </c>
      <c r="I35" s="6">
        <v>82.074667000000005</v>
      </c>
      <c r="J35" s="6" t="s">
        <v>15</v>
      </c>
      <c r="K35" s="6" t="s">
        <v>16</v>
      </c>
      <c r="L35" s="6" t="s">
        <v>17</v>
      </c>
      <c r="M35" s="6" t="s">
        <v>22</v>
      </c>
      <c r="N35" s="9" t="s">
        <v>19</v>
      </c>
    </row>
    <row r="36" spans="1:14" ht="12.75" x14ac:dyDescent="0.2">
      <c r="A36" s="10" t="s">
        <v>13</v>
      </c>
      <c r="B36" s="11" t="s">
        <v>36</v>
      </c>
      <c r="C36" s="11">
        <v>12.699</v>
      </c>
      <c r="D36" s="11">
        <v>6.4550000000000001</v>
      </c>
      <c r="E36" s="11">
        <v>5.4279999999999999</v>
      </c>
      <c r="F36" s="11">
        <v>0.81599999999999995</v>
      </c>
      <c r="G36" s="11">
        <f>Table1[[#This Row],[Battery Weight '[lbf']]]/Table1[[#This Row],[Gross Weight '[lbf']]]</f>
        <v>6.4257028112449793E-2</v>
      </c>
      <c r="H36" s="12">
        <f t="shared" si="4"/>
        <v>0.4274352311205607</v>
      </c>
      <c r="I36" s="11">
        <v>73.861333000000002</v>
      </c>
      <c r="J36" s="11" t="s">
        <v>15</v>
      </c>
      <c r="K36" s="11" t="s">
        <v>16</v>
      </c>
      <c r="L36" s="11" t="s">
        <v>17</v>
      </c>
      <c r="M36" s="11" t="s">
        <v>22</v>
      </c>
      <c r="N36" s="14" t="s">
        <v>19</v>
      </c>
    </row>
    <row r="37" spans="1:14" ht="12.75" x14ac:dyDescent="0.2">
      <c r="A37" s="5" t="s">
        <v>13</v>
      </c>
      <c r="B37" s="6" t="s">
        <v>36</v>
      </c>
      <c r="C37" s="6">
        <v>10.057</v>
      </c>
      <c r="D37" s="6">
        <v>2.9969999999999999</v>
      </c>
      <c r="E37" s="6">
        <v>5.4279999999999999</v>
      </c>
      <c r="F37" s="6">
        <v>1.6319999999999999</v>
      </c>
      <c r="G37" s="6">
        <f>Table1[[#This Row],[Battery Weight '[lbf']]]/Table1[[#This Row],[Gross Weight '[lbf']]]</f>
        <v>0.16227503231579993</v>
      </c>
      <c r="H37" s="7">
        <f t="shared" si="4"/>
        <v>0.53972357561897188</v>
      </c>
      <c r="I37" s="6">
        <v>68.141333000000003</v>
      </c>
      <c r="J37" s="6" t="s">
        <v>15</v>
      </c>
      <c r="K37" s="6" t="s">
        <v>16</v>
      </c>
      <c r="L37" s="6" t="s">
        <v>17</v>
      </c>
      <c r="M37" s="6" t="s">
        <v>22</v>
      </c>
      <c r="N37" s="9" t="s">
        <v>19</v>
      </c>
    </row>
    <row r="38" spans="1:14" ht="12.75" x14ac:dyDescent="0.2">
      <c r="A38" s="10" t="s">
        <v>13</v>
      </c>
      <c r="B38" s="11" t="s">
        <v>37</v>
      </c>
      <c r="C38" s="11">
        <v>6.4</v>
      </c>
      <c r="D38" s="11">
        <v>0</v>
      </c>
      <c r="E38" s="11">
        <v>4.9000000000000004</v>
      </c>
      <c r="F38" s="11">
        <v>1.5</v>
      </c>
      <c r="G38" s="11">
        <f>Table1[[#This Row],[Battery Weight '[lbf']]]/Table1[[#This Row],[Gross Weight '[lbf']]]</f>
        <v>0.234375</v>
      </c>
      <c r="H38" s="12">
        <f t="shared" si="4"/>
        <v>0.765625</v>
      </c>
      <c r="I38" s="11">
        <v>71</v>
      </c>
      <c r="J38" s="11" t="s">
        <v>15</v>
      </c>
      <c r="K38" s="11" t="s">
        <v>38</v>
      </c>
      <c r="L38" s="11" t="s">
        <v>17</v>
      </c>
      <c r="M38" s="11" t="s">
        <v>22</v>
      </c>
      <c r="N38" s="14" t="s">
        <v>25</v>
      </c>
    </row>
    <row r="39" spans="1:14" ht="12.75" x14ac:dyDescent="0.2">
      <c r="A39" s="5" t="s">
        <v>13</v>
      </c>
      <c r="B39" s="6" t="s">
        <v>37</v>
      </c>
      <c r="C39" s="6">
        <v>24</v>
      </c>
      <c r="D39" s="6">
        <v>15.4</v>
      </c>
      <c r="E39" s="6">
        <v>4.9000000000000004</v>
      </c>
      <c r="F39" s="6">
        <v>1.5</v>
      </c>
      <c r="G39" s="6">
        <f>Table1[[#This Row],[Battery Weight '[lbf']]]/Table1[[#This Row],[Gross Weight '[lbf']]]</f>
        <v>6.25E-2</v>
      </c>
      <c r="H39" s="7">
        <f t="shared" si="4"/>
        <v>0.20416666666666669</v>
      </c>
      <c r="I39" s="6">
        <v>165</v>
      </c>
      <c r="J39" s="6" t="s">
        <v>15</v>
      </c>
      <c r="K39" s="6" t="s">
        <v>38</v>
      </c>
      <c r="L39" s="6" t="s">
        <v>17</v>
      </c>
      <c r="M39" s="6" t="s">
        <v>22</v>
      </c>
      <c r="N39" s="9" t="s">
        <v>25</v>
      </c>
    </row>
    <row r="40" spans="1:14" ht="12.75" x14ac:dyDescent="0.2">
      <c r="A40" s="10" t="s">
        <v>13</v>
      </c>
      <c r="B40" s="11" t="s">
        <v>37</v>
      </c>
      <c r="C40" s="11">
        <v>9.4</v>
      </c>
      <c r="D40" s="11">
        <v>1.6</v>
      </c>
      <c r="E40" s="11">
        <v>4.9000000000000004</v>
      </c>
      <c r="F40" s="11">
        <v>2.9</v>
      </c>
      <c r="G40" s="11">
        <f>Table1[[#This Row],[Battery Weight '[lbf']]]/Table1[[#This Row],[Gross Weight '[lbf']]]</f>
        <v>0.30851063829787234</v>
      </c>
      <c r="H40" s="12">
        <f t="shared" si="4"/>
        <v>0.52127659574468088</v>
      </c>
      <c r="I40" s="11">
        <v>45</v>
      </c>
      <c r="J40" s="11" t="s">
        <v>15</v>
      </c>
      <c r="K40" s="11" t="s">
        <v>38</v>
      </c>
      <c r="L40" s="11" t="s">
        <v>17</v>
      </c>
      <c r="M40" s="11" t="s">
        <v>22</v>
      </c>
      <c r="N40" s="14" t="s">
        <v>25</v>
      </c>
    </row>
    <row r="41" spans="1:14" ht="12.75" x14ac:dyDescent="0.2">
      <c r="A41" s="5" t="s">
        <v>13</v>
      </c>
      <c r="B41" s="6" t="s">
        <v>39</v>
      </c>
      <c r="C41" s="6">
        <v>8.3000000000000007</v>
      </c>
      <c r="D41" s="6">
        <v>0</v>
      </c>
      <c r="E41" s="6">
        <v>6.57</v>
      </c>
      <c r="F41" s="6">
        <v>1.7</v>
      </c>
      <c r="G41" s="6">
        <f>Table1[[#This Row],[Battery Weight '[lbf']]]/Table1[[#This Row],[Gross Weight '[lbf']]]</f>
        <v>0.2048192771084337</v>
      </c>
      <c r="H41" s="7">
        <f t="shared" si="4"/>
        <v>0.79156626506024097</v>
      </c>
      <c r="I41" s="6">
        <v>123</v>
      </c>
      <c r="J41" s="6" t="s">
        <v>15</v>
      </c>
      <c r="K41" s="6" t="s">
        <v>16</v>
      </c>
      <c r="L41" s="6" t="s">
        <v>21</v>
      </c>
      <c r="M41" s="6" t="s">
        <v>22</v>
      </c>
      <c r="N41" s="9" t="s">
        <v>25</v>
      </c>
    </row>
    <row r="42" spans="1:14" ht="12.75" x14ac:dyDescent="0.2">
      <c r="A42" s="10" t="s">
        <v>13</v>
      </c>
      <c r="B42" s="11" t="s">
        <v>39</v>
      </c>
      <c r="C42" s="11">
        <v>20.7</v>
      </c>
      <c r="D42" s="11">
        <v>12.5</v>
      </c>
      <c r="E42" s="11">
        <v>6.57</v>
      </c>
      <c r="F42" s="11">
        <v>1.7</v>
      </c>
      <c r="G42" s="11">
        <f>Table1[[#This Row],[Battery Weight '[lbf']]]/Table1[[#This Row],[Gross Weight '[lbf']]]</f>
        <v>8.2125603864734303E-2</v>
      </c>
      <c r="H42" s="12">
        <f t="shared" si="4"/>
        <v>0.31739130434782609</v>
      </c>
      <c r="I42" s="11">
        <v>121</v>
      </c>
      <c r="J42" s="11" t="s">
        <v>15</v>
      </c>
      <c r="K42" s="11" t="s">
        <v>16</v>
      </c>
      <c r="L42" s="11" t="s">
        <v>21</v>
      </c>
      <c r="M42" s="11" t="s">
        <v>22</v>
      </c>
      <c r="N42" s="14" t="s">
        <v>25</v>
      </c>
    </row>
    <row r="43" spans="1:14" ht="12.75" x14ac:dyDescent="0.2">
      <c r="A43" s="5" t="s">
        <v>13</v>
      </c>
      <c r="B43" s="6" t="s">
        <v>39</v>
      </c>
      <c r="C43" s="6">
        <v>10.9</v>
      </c>
      <c r="D43" s="6">
        <v>0.91</v>
      </c>
      <c r="E43" s="6">
        <v>6.57</v>
      </c>
      <c r="F43" s="6">
        <v>3.4</v>
      </c>
      <c r="G43" s="6">
        <f>Table1[[#This Row],[Battery Weight '[lbf']]]/Table1[[#This Row],[Gross Weight '[lbf']]]</f>
        <v>0.31192660550458712</v>
      </c>
      <c r="H43" s="7">
        <f t="shared" si="4"/>
        <v>0.60275229357798166</v>
      </c>
      <c r="I43" s="6">
        <v>48</v>
      </c>
      <c r="J43" s="6" t="s">
        <v>15</v>
      </c>
      <c r="K43" s="6" t="s">
        <v>16</v>
      </c>
      <c r="L43" s="6" t="s">
        <v>21</v>
      </c>
      <c r="M43" s="6" t="s">
        <v>22</v>
      </c>
      <c r="N43" s="9" t="s">
        <v>25</v>
      </c>
    </row>
    <row r="44" spans="1:14" ht="12.75" x14ac:dyDescent="0.2">
      <c r="A44" s="18" t="s">
        <v>13</v>
      </c>
      <c r="B44" s="19" t="s">
        <v>40</v>
      </c>
      <c r="C44" s="19">
        <v>6.91</v>
      </c>
      <c r="D44" s="19">
        <v>0</v>
      </c>
      <c r="E44" s="19">
        <v>4.6100000000000003</v>
      </c>
      <c r="F44" s="19">
        <v>1.5</v>
      </c>
      <c r="G44" s="19">
        <f>Table1[[#This Row],[Battery Weight '[lbf']]]/Table1[[#This Row],[Gross Weight '[lbf']]]</f>
        <v>0.21707670043415339</v>
      </c>
      <c r="H44" s="15">
        <f t="shared" si="4"/>
        <v>0.66714905933429813</v>
      </c>
      <c r="I44" s="19">
        <v>23</v>
      </c>
      <c r="J44" s="19" t="s">
        <v>15</v>
      </c>
      <c r="K44" s="19" t="s">
        <v>16</v>
      </c>
      <c r="L44" s="19" t="s">
        <v>17</v>
      </c>
      <c r="M44" s="19" t="s">
        <v>22</v>
      </c>
      <c r="N44" s="20" t="s">
        <v>19</v>
      </c>
    </row>
    <row r="45" spans="1:14" ht="12.75" x14ac:dyDescent="0.2">
      <c r="A45" s="21" t="s">
        <v>13</v>
      </c>
      <c r="B45" s="21" t="s">
        <v>41</v>
      </c>
      <c r="C45" s="21">
        <v>3.6469999999999998</v>
      </c>
      <c r="D45" s="21">
        <v>2</v>
      </c>
      <c r="E45" s="21">
        <f>C45-D45</f>
        <v>1.6469999999999998</v>
      </c>
      <c r="F45" s="21">
        <v>0.32400000000000001</v>
      </c>
      <c r="G45" s="21">
        <f>Table1[[#This Row],[Battery Weight '[lbf']]]/Table1[[#This Row],[Gross Weight '[lbf']]]</f>
        <v>8.8840142582944898E-2</v>
      </c>
      <c r="H45" s="16">
        <f t="shared" si="4"/>
        <v>0.45160405812996979</v>
      </c>
      <c r="I45" s="21">
        <v>70</v>
      </c>
      <c r="J45" s="21" t="s">
        <v>15</v>
      </c>
      <c r="K45" s="21" t="s">
        <v>16</v>
      </c>
      <c r="L45" s="21" t="s">
        <v>17</v>
      </c>
      <c r="M45" s="21" t="s">
        <v>22</v>
      </c>
      <c r="N45" s="21" t="s">
        <v>19</v>
      </c>
    </row>
    <row r="46" spans="1:14" ht="12.75" x14ac:dyDescent="0.2">
      <c r="A46" s="21" t="s">
        <v>13</v>
      </c>
      <c r="B46" s="21" t="s">
        <v>42</v>
      </c>
      <c r="C46" s="21">
        <v>7.87</v>
      </c>
      <c r="D46" s="21">
        <v>5.0049999999999999</v>
      </c>
      <c r="E46" s="21">
        <v>2.8660000000000001</v>
      </c>
      <c r="F46" s="21">
        <v>0.88185000000000002</v>
      </c>
      <c r="G46" s="21">
        <f>Table1[[#This Row],[Battery Weight '[lbf']]]/Table1[[#This Row],[Gross Weight '[lbf']]]</f>
        <v>0.11205209656925032</v>
      </c>
      <c r="H46" s="16">
        <f t="shared" si="4"/>
        <v>0.36416772554002541</v>
      </c>
      <c r="I46" s="21">
        <v>0.88185000000000002</v>
      </c>
      <c r="J46" s="21" t="s">
        <v>15</v>
      </c>
      <c r="K46" s="21" t="s">
        <v>16</v>
      </c>
      <c r="L46" s="21" t="s">
        <v>17</v>
      </c>
      <c r="M46" s="21" t="s">
        <v>22</v>
      </c>
      <c r="N46" s="21" t="s">
        <v>25</v>
      </c>
    </row>
    <row r="47" spans="1:14" ht="12.75" x14ac:dyDescent="0.2">
      <c r="A47" s="22" t="s">
        <v>43</v>
      </c>
      <c r="B47" s="22" t="s">
        <v>44</v>
      </c>
      <c r="C47" s="23">
        <f>0.43*2.20462262</f>
        <v>0.94798772659999997</v>
      </c>
      <c r="D47" s="23">
        <v>0</v>
      </c>
      <c r="E47" s="22">
        <f>0.282*2.20462262</f>
        <v>0.62170357883999994</v>
      </c>
      <c r="F47" s="23">
        <f>0.148*2.20462262</f>
        <v>0.32628414775999998</v>
      </c>
      <c r="G47" s="23">
        <f>Table1[[#This Row],[Battery Weight '[lbf']]]/Table1[[#This Row],[Gross Weight '[lbf']]]</f>
        <v>0.34418604651162787</v>
      </c>
      <c r="H47" s="16">
        <f t="shared" si="4"/>
        <v>0.65581395348837201</v>
      </c>
      <c r="I47" s="23"/>
      <c r="J47" s="23"/>
      <c r="K47" s="23"/>
      <c r="L47" s="23"/>
      <c r="M47" s="23"/>
      <c r="N47" s="23"/>
    </row>
    <row r="48" spans="1:14" ht="15.75" customHeight="1" x14ac:dyDescent="0.2">
      <c r="A48" s="22" t="s">
        <v>43</v>
      </c>
      <c r="B48" s="22" t="s">
        <v>46</v>
      </c>
      <c r="C48" s="23">
        <f>0.45*2.20462262</f>
        <v>0.99208017900000001</v>
      </c>
      <c r="D48" s="23">
        <v>0</v>
      </c>
      <c r="E48" s="23">
        <f>0.28*2.20462262</f>
        <v>0.61729433359999997</v>
      </c>
      <c r="F48" s="23">
        <f>0.17*2.20462262</f>
        <v>0.37478584539999998</v>
      </c>
      <c r="G48" s="23">
        <f>Table1[[#This Row],[Battery Weight '[lbf']]]/Table1[[#This Row],[Gross Weight '[lbf']]]</f>
        <v>0.37777777777777777</v>
      </c>
      <c r="H48" s="16">
        <f t="shared" si="4"/>
        <v>0.62222222222222223</v>
      </c>
      <c r="I48" s="23"/>
      <c r="J48" s="23"/>
      <c r="K48" s="23"/>
      <c r="L48" s="23"/>
      <c r="M48" s="23"/>
      <c r="N48" s="23"/>
    </row>
    <row r="49" spans="1:14" ht="15.75" customHeight="1" x14ac:dyDescent="0.2">
      <c r="A49" s="22" t="s">
        <v>45</v>
      </c>
      <c r="B49" s="22" t="s">
        <v>47</v>
      </c>
      <c r="C49" s="23">
        <f>1.7*2.20462262</f>
        <v>3.7478584539999997</v>
      </c>
      <c r="D49" s="23">
        <v>0</v>
      </c>
      <c r="E49" s="23">
        <f>1.187*2.20462262</f>
        <v>2.6168870499399999</v>
      </c>
      <c r="F49" s="23">
        <f>0.513*2.20462262</f>
        <v>1.1309714040599999</v>
      </c>
      <c r="G49" s="23">
        <f>Table1[[#This Row],[Battery Weight '[lbf']]]/Table1[[#This Row],[Gross Weight '[lbf']]]</f>
        <v>0.30176470588235293</v>
      </c>
      <c r="H49" s="16">
        <f t="shared" si="4"/>
        <v>0.69823529411764707</v>
      </c>
      <c r="I49" s="23"/>
      <c r="J49" s="23"/>
      <c r="K49" s="23"/>
      <c r="L49" s="23"/>
      <c r="M49" s="23"/>
      <c r="N49" s="23"/>
    </row>
    <row r="50" spans="1:14" ht="15.75" customHeight="1" x14ac:dyDescent="0.2">
      <c r="A50" s="22" t="s">
        <v>45</v>
      </c>
      <c r="B50" s="22" t="s">
        <v>48</v>
      </c>
      <c r="C50" s="23">
        <f>0.234*2.20462262</f>
        <v>0.51588169307999998</v>
      </c>
      <c r="D50" s="23">
        <v>0</v>
      </c>
      <c r="E50" s="23">
        <f>0.178*2.20462262</f>
        <v>0.39242282635999998</v>
      </c>
      <c r="F50" s="23">
        <f>0.056*2.20462262</f>
        <v>0.12345886671999999</v>
      </c>
      <c r="G50" s="23">
        <f>Table1[[#This Row],[Battery Weight '[lbf']]]/Table1[[#This Row],[Gross Weight '[lbf']]]</f>
        <v>0.2393162393162393</v>
      </c>
      <c r="H50" s="16">
        <f t="shared" si="4"/>
        <v>0.76068376068376065</v>
      </c>
      <c r="I50" s="23"/>
      <c r="J50" s="23"/>
      <c r="K50" s="23"/>
      <c r="L50" s="23"/>
      <c r="M50" s="23"/>
      <c r="N50" s="23"/>
    </row>
    <row r="51" spans="1:14" ht="15.75" customHeight="1" x14ac:dyDescent="0.2">
      <c r="A51" s="22" t="s">
        <v>45</v>
      </c>
      <c r="B51" s="22" t="s">
        <v>49</v>
      </c>
      <c r="C51" s="23">
        <f>1.23*2.20462262</f>
        <v>2.7116858225999998</v>
      </c>
      <c r="D51" s="23">
        <v>0</v>
      </c>
      <c r="E51" s="23">
        <f>0.918*2.20462262</f>
        <v>2.02384356516</v>
      </c>
      <c r="F51" s="23">
        <f>0.312*2.20462262</f>
        <v>0.68784225743999994</v>
      </c>
      <c r="G51" s="23">
        <f>Table1[[#This Row],[Battery Weight '[lbf']]]/Table1[[#This Row],[Gross Weight '[lbf']]]</f>
        <v>0.25365853658536586</v>
      </c>
      <c r="H51" s="16">
        <f t="shared" si="4"/>
        <v>0.74634146341463414</v>
      </c>
      <c r="I51" s="23"/>
      <c r="J51" s="23"/>
      <c r="K51" s="23"/>
      <c r="L51" s="23"/>
      <c r="M51" s="23"/>
      <c r="N51" s="23"/>
    </row>
    <row r="52" spans="1:14" ht="15.75" customHeight="1" x14ac:dyDescent="0.2">
      <c r="A52" s="22" t="s">
        <v>45</v>
      </c>
      <c r="B52" s="22" t="s">
        <v>50</v>
      </c>
      <c r="C52" s="23">
        <f>0.62*2.20462262</f>
        <v>1.3668660243999999</v>
      </c>
      <c r="D52" s="23">
        <v>0</v>
      </c>
      <c r="E52" s="23">
        <f>0.427*2.20462262</f>
        <v>0.9413738587399999</v>
      </c>
      <c r="F52" s="23">
        <f>0.193*2.20462262</f>
        <v>0.42549216565999998</v>
      </c>
      <c r="G52" s="23">
        <f>Table1[[#This Row],[Battery Weight '[lbf']]]/Table1[[#This Row],[Gross Weight '[lbf']]]</f>
        <v>0.31129032258064515</v>
      </c>
      <c r="H52" s="16">
        <f t="shared" si="4"/>
        <v>0.68870967741935485</v>
      </c>
      <c r="I52" s="23"/>
      <c r="J52" s="23"/>
      <c r="K52" s="23"/>
      <c r="L52" s="23"/>
      <c r="M52" s="23"/>
      <c r="N52" s="23"/>
    </row>
    <row r="53" spans="1:14" ht="15.75" customHeight="1" x14ac:dyDescent="0.2">
      <c r="A53" s="22" t="s">
        <v>43</v>
      </c>
      <c r="B53" s="22" t="s">
        <v>51</v>
      </c>
      <c r="C53" s="23">
        <f>1.65*2.20462262</f>
        <v>3.6376273229999998</v>
      </c>
      <c r="D53" s="23">
        <v>0</v>
      </c>
      <c r="E53" s="23">
        <f>1.157*2.20462262</f>
        <v>2.5507483713400001</v>
      </c>
      <c r="F53" s="23">
        <f>0.493*2.20462262</f>
        <v>1.0868789516599999</v>
      </c>
      <c r="G53" s="23">
        <f>Table1[[#This Row],[Battery Weight '[lbf']]]/Table1[[#This Row],[Gross Weight '[lbf']]]</f>
        <v>0.29878787878787877</v>
      </c>
      <c r="H53" s="16">
        <f t="shared" si="4"/>
        <v>0.70121212121212129</v>
      </c>
      <c r="I53" s="23"/>
      <c r="J53" s="23"/>
      <c r="K53" s="23"/>
      <c r="L53" s="23"/>
      <c r="M53" s="23"/>
      <c r="N53" s="23"/>
    </row>
    <row r="54" spans="1:14" ht="15.75" customHeight="1" x14ac:dyDescent="0.2">
      <c r="A54" s="22" t="s">
        <v>43</v>
      </c>
      <c r="B54" s="22" t="s">
        <v>52</v>
      </c>
      <c r="C54" s="23">
        <f>1.73*2.20462262</f>
        <v>3.8139971326</v>
      </c>
      <c r="D54" s="23">
        <v>0</v>
      </c>
      <c r="E54" s="23">
        <f>1.139*2.20462262</f>
        <v>2.5110651641799997</v>
      </c>
      <c r="F54" s="23">
        <f>0.591*2.20462262</f>
        <v>1.3029319684199998</v>
      </c>
      <c r="G54" s="23">
        <f>Table1[[#This Row],[Battery Weight '[lbf']]]/Table1[[#This Row],[Gross Weight '[lbf']]]</f>
        <v>0.34161849710982656</v>
      </c>
      <c r="H54" s="16">
        <f t="shared" si="4"/>
        <v>0.65838150289017339</v>
      </c>
      <c r="I54" s="23"/>
      <c r="J54" s="23"/>
      <c r="K54" s="23"/>
      <c r="L54" s="23"/>
      <c r="M54" s="23"/>
      <c r="N54" s="23"/>
    </row>
    <row r="55" spans="1:14" ht="15.75" customHeight="1" x14ac:dyDescent="0.2">
      <c r="A55" s="22" t="s">
        <v>43</v>
      </c>
      <c r="B55" s="22" t="s">
        <v>53</v>
      </c>
      <c r="C55" s="23">
        <f>2.1*2.20462262</f>
        <v>4.6297075019999996</v>
      </c>
      <c r="D55" s="23">
        <v>0</v>
      </c>
      <c r="E55" s="23">
        <f>1.528*2.20462262</f>
        <v>3.3686633633600001</v>
      </c>
      <c r="F55" s="23">
        <f>0.572*2.20462262</f>
        <v>1.2610441386399998</v>
      </c>
      <c r="G55" s="23">
        <f>Table1[[#This Row],[Battery Weight '[lbf']]]/Table1[[#This Row],[Gross Weight '[lbf']]]</f>
        <v>0.27238095238095233</v>
      </c>
      <c r="H55" s="16">
        <f t="shared" si="4"/>
        <v>0.72761904761904772</v>
      </c>
      <c r="I55" s="23"/>
      <c r="J55" s="23"/>
      <c r="K55" s="23"/>
      <c r="L55" s="23"/>
      <c r="M55" s="23"/>
      <c r="N55" s="23"/>
    </row>
    <row r="56" spans="1:14" ht="15.75" customHeight="1" x14ac:dyDescent="0.2">
      <c r="A56" s="22" t="s">
        <v>43</v>
      </c>
      <c r="B56" s="22" t="s">
        <v>54</v>
      </c>
      <c r="C56" s="23">
        <f>2.35*2.20462262</f>
        <v>5.1808631570000001</v>
      </c>
      <c r="D56" s="23">
        <v>0</v>
      </c>
      <c r="E56" s="23">
        <f>1.713*2.20462262</f>
        <v>3.7765185480599999</v>
      </c>
      <c r="F56" s="23">
        <f>0.637*2.20462262</f>
        <v>1.40434460894</v>
      </c>
      <c r="G56" s="23">
        <f>Table1[[#This Row],[Battery Weight '[lbf']]]/Table1[[#This Row],[Gross Weight '[lbf']]]</f>
        <v>0.27106382978723403</v>
      </c>
      <c r="H56" s="16">
        <f t="shared" si="4"/>
        <v>0.72893617021276591</v>
      </c>
      <c r="I56" s="23"/>
      <c r="J56" s="23"/>
      <c r="K56" s="23"/>
      <c r="L56" s="23"/>
      <c r="M56" s="23"/>
      <c r="N56" s="23"/>
    </row>
    <row r="57" spans="1:14" ht="15.75" customHeight="1" x14ac:dyDescent="0.2">
      <c r="A57" s="22" t="s">
        <v>43</v>
      </c>
      <c r="B57" s="22" t="s">
        <v>55</v>
      </c>
      <c r="C57" s="23">
        <f>2.1*2.20462262</f>
        <v>4.6297075019999996</v>
      </c>
      <c r="D57" s="23">
        <v>0</v>
      </c>
      <c r="E57" s="23">
        <f>1.139*2.20462262</f>
        <v>2.5110651641799997</v>
      </c>
      <c r="F57" s="23">
        <f>0.71*2.20462262</f>
        <v>1.5652820601999999</v>
      </c>
      <c r="G57" s="23">
        <f>Table1[[#This Row],[Battery Weight '[lbf']]]/Table1[[#This Row],[Gross Weight '[lbf']]]</f>
        <v>0.33809523809523812</v>
      </c>
      <c r="H57" s="16">
        <f t="shared" si="4"/>
        <v>0.54238095238095241</v>
      </c>
      <c r="I57" s="23"/>
      <c r="J57" s="23"/>
      <c r="K57" s="23"/>
      <c r="L57" s="23"/>
      <c r="M57" s="23"/>
      <c r="N57" s="23"/>
    </row>
    <row r="58" spans="1:14" ht="15.75" customHeight="1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 ht="15.75" customHeight="1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ht="15.75" customHeight="1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</row>
  </sheetData>
  <pageMargins left="0.7" right="0.7" top="0.75" bottom="0.75" header="0.3" footer="0.3"/>
  <ignoredErrors>
    <ignoredError sqref="C56" 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Nathan Carey</cp:lastModifiedBy>
  <cp:revision/>
  <dcterms:created xsi:type="dcterms:W3CDTF">2025-05-31T19:29:29Z</dcterms:created>
  <dcterms:modified xsi:type="dcterms:W3CDTF">2026-03-05T17:33:50Z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2025-05-31T20:15:41Z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c4b2ceae-7071-4894-9989-4632eb0745ca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  <property fmtid="{D5CDD505-2E9C-101B-9397-08002B2CF9AE}" pid="10" name="MSIP_Label_defa4170-0d19-0005-0004-bc88714345d2_Enabled">
    <vt:lpwstr>true</vt:lpwstr>
  </property>
  <property fmtid="{D5CDD505-2E9C-101B-9397-08002B2CF9AE}" pid="11" name="MSIP_Label_defa4170-0d19-0005-0004-bc88714345d2_SetDate">
    <vt:lpwstr>2025-06-25T21:23:29Z</vt:lpwstr>
  </property>
  <property fmtid="{D5CDD505-2E9C-101B-9397-08002B2CF9AE}" pid="12" name="MSIP_Label_defa4170-0d19-0005-0004-bc88714345d2_Method">
    <vt:lpwstr>Standard</vt:lpwstr>
  </property>
  <property fmtid="{D5CDD505-2E9C-101B-9397-08002B2CF9AE}" pid="13" name="MSIP_Label_defa4170-0d19-0005-0004-bc88714345d2_Name">
    <vt:lpwstr>defa4170-0d19-0005-0004-bc88714345d2</vt:lpwstr>
  </property>
  <property fmtid="{D5CDD505-2E9C-101B-9397-08002B2CF9AE}" pid="14" name="MSIP_Label_defa4170-0d19-0005-0004-bc88714345d2_SiteId">
    <vt:lpwstr>5a6105b1-f57e-4ee8-b718-89310723ba87</vt:lpwstr>
  </property>
  <property fmtid="{D5CDD505-2E9C-101B-9397-08002B2CF9AE}" pid="15" name="MSIP_Label_defa4170-0d19-0005-0004-bc88714345d2_ActionId">
    <vt:lpwstr>ab885397-6cd3-4479-b991-3669989374d9</vt:lpwstr>
  </property>
  <property fmtid="{D5CDD505-2E9C-101B-9397-08002B2CF9AE}" pid="16" name="MSIP_Label_defa4170-0d19-0005-0004-bc88714345d2_ContentBits">
    <vt:lpwstr>0</vt:lpwstr>
  </property>
  <property fmtid="{D5CDD505-2E9C-101B-9397-08002B2CF9AE}" pid="17" name="MSIP_Label_defa4170-0d19-0005-0004-bc88714345d2_Tag">
    <vt:lpwstr>10, 3, 0, 1</vt:lpwstr>
  </property>
</Properties>
</file>